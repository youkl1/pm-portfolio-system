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6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<sst xmlns="http://schemas.openxmlformats.org/spreadsheetml/2006/main" count="28" uniqueCount="24">
  <si>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月份</t>
  </si>
  <si>
    <t>部门</t>
  </si>
  <si>
    <t>姓名</t>
  </si>
  <si>
    <t>固定工资</t>
  </si>
  <si>
    <t>应出勤天数</t>
  </si>
  <si>
    <t>实际出勤天数</t>
  </si>
  <si>
    <t>实出勤工资</t>
  </si>
  <si>
    <t>事/病假小时扣款</t>
  </si>
  <si>
    <t>出勤工资小计</t>
  </si>
  <si>
    <t>补贴/绩效</t>
  </si>
  <si>
    <t>扣除医保</t>
  </si>
  <si>
    <t>扣款合计</t>
  </si>
  <si>
    <t>备注</t>
  </si>
  <si>
    <t>实发</t>
  </si>
  <si>
    <t>12月</t>
  </si>
  <si>
    <t>人事</t>
  </si>
  <si>
    <t>蔡雪艳</t>
  </si>
  <si>
    <t>满勤</t>
  </si>
  <si>
    <t>1月收到工资</t>
  </si>
  <si>
    <t>请假3小时</t>
  </si>
  <si>
    <t>差额</t>
  </si>
  <si>
    <t>十三薪核算公式=底薪/12*月份</t>
  </si>
  <si>
    <t>十三薪收到</t>
  </si>
  <si>
    <t>共计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</si>
</sst>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H26" sqref="H26"/>
    </sheetView>
  </sheetViews>
  <sheetFormatPr defaultColWidth="9" defaultRowHeight="14"/>
  <cols>
    <col min="1" max="1" width="12.7545454545455" customWidth="1"/>
    <col min="4" max="5" width="10" customWidth="1"/>
    <col min="6" max="6" width="11.2545454545455" customWidth="1"/>
    <col min="7" max="7" width="12.1272727272727" customWidth="1"/>
    <col min="8" max="8" width="16.2545454545455" customWidth="1"/>
    <col min="9" max="9" width="13.1272727272727" customWidth="1"/>
    <col min="12" max="12" width="11.6272727272727" customWidth="1"/>
    <col min="13" max="13" width="13.1272727272727" style="1" customWidth="1"/>
    <col min="14" max="14" width="12.8181818181818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hidden="1" spans="1:14">
      <c r="A2" s="1" t="s">
        <v>14</v>
      </c>
      <c r="B2" s="1" t="s">
        <v>15</v>
      </c>
      <c r="C2" s="1" t="s">
        <v>16</v>
      </c>
      <c r="D2" s="1">
        <v>4500</v>
      </c>
      <c r="E2" s="1">
        <v>23</v>
      </c>
      <c r="F2" s="1">
        <v>23</v>
      </c>
      <c r="G2" s="1">
        <v>4500</v>
      </c>
      <c r="H2" s="1">
        <v>0</v>
      </c>
      <c r="I2" s="1">
        <f>G2-H2</f>
        <v>4500</v>
      </c>
      <c r="J2" s="1">
        <v>500</v>
      </c>
      <c r="K2" s="1">
        <v>432.32</v>
      </c>
      <c r="L2" s="1">
        <v>432.32</v>
      </c>
      <c r="M2" s="1" t="s">
        <v>17</v>
      </c>
      <c r="N2" s="1">
        <f>SUM(D2/E2*F2)-K2+J2</f>
        <v>4567.68</v>
      </c>
    </row>
    <row r="3" s="1" customFormat="1" spans="1:14">
      <c r="A3" s="1" t="s">
        <v>18</v>
      </c>
      <c r="B3" s="1" t="s">
        <v>15</v>
      </c>
      <c r="C3" s="1" t="s">
        <v>16</v>
      </c>
      <c r="D3" s="1">
        <v>4500</v>
      </c>
      <c r="E3" s="1">
        <v>22</v>
      </c>
      <c r="F3" s="1">
        <v>22</v>
      </c>
      <c r="G3" s="1">
        <v>4500</v>
      </c>
      <c r="H3" s="2">
        <f>(D3/E3)/7.5*3</f>
        <v>81.8181818181818</v>
      </c>
      <c r="I3" s="2">
        <f>G3-H3</f>
        <v>4418.18181818182</v>
      </c>
      <c r="J3" s="1">
        <v>500</v>
      </c>
      <c r="K3" s="1">
        <v>432.32</v>
      </c>
      <c r="L3" s="1">
        <v>432.32</v>
      </c>
      <c r="M3" s="1" t="s">
        <v>19</v>
      </c>
      <c r="N3" s="2">
        <f>I3+J3-L3</f>
        <v>4485.86181818182</v>
      </c>
    </row>
    <row r="4" spans="1:14">
      <c r="D4" s="1">
        <v>5200</v>
      </c>
      <c r="E4" s="1">
        <v>22</v>
      </c>
      <c r="F4" s="1">
        <v>22</v>
      </c>
      <c r="G4" s="1">
        <v>5200</v>
      </c>
      <c r="H4" s="2">
        <f>(D4/E4)/7.5*3</f>
        <v>94.5454545454545</v>
      </c>
      <c r="I4" s="2">
        <f>G4-H4</f>
        <v>5105.45454545455</v>
      </c>
      <c r="J4" s="1">
        <v>500</v>
      </c>
      <c r="K4" s="1">
        <v>432.32</v>
      </c>
      <c r="L4" s="1">
        <v>432.32</v>
      </c>
      <c r="M4" s="1" t="s">
        <v>19</v>
      </c>
      <c r="N4" s="2">
        <f>I4+J4-L4</f>
        <v>5173.13454545455</v>
      </c>
    </row>
    <row r="5" spans="1:14">
      <c r="M5" s="1" t="s">
        <v>20</v>
      </c>
      <c r="N5" s="2">
        <f>N4-N3</f>
        <v>687.272727272727</v>
      </c>
    </row>
    <row r="6" spans="1:14">
      <c r="I6" t="s">
        <v>21</v>
      </c>
      <c r="L6" t="s">
        <v>22</v>
      </c>
      <c r="M6" s="1">
        <f>4500/12*5.5</f>
        <v>2062.5</v>
      </c>
    </row>
    <row r="7" spans="1:14">
      <c r="M7" s="2">
        <f>5200/12*5.5</f>
        <v>2383.33333333333</v>
      </c>
    </row>
    <row r="8" spans="1:14">
      <c r="M8" s="1" t="s">
        <v>20</v>
      </c>
      <c r="N8" s="2">
        <f>M7-M6</f>
        <v>320.83333333333</v>
      </c>
    </row>
    <row r="9" spans="1:14">
      <c r="M9" s="1" t="s">
        <v>23</v>
      </c>
      <c r="N9" s="2">
        <f>N5+N8</f>
        <v>1008.10606060606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游开龙</cp:lastModifiedBy>
  <dcterms:created xsi:type="dcterms:W3CDTF">2023-05-12T11:15:00Z</dcterms:created>
  <dcterms:modified xsi:type="dcterms:W3CDTF">2026-03-03T13:04:13Z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B4CA155CE0A84EE08D73DE95642F1E49_13</vt:lpwstr>
  </property>
  <property fmtid="{D5CDD505-2E9C-101B-9397-08002B2CF9AE}" pid="4" name="CalculationRule">
    <vt:i4>0</vt:i4>
  </property>
</Properties>
</file>